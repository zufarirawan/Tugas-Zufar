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Zufar\Zufar Rafid Irawan X PPLG 1\Excel\"/>
    </mc:Choice>
  </mc:AlternateContent>
  <xr:revisionPtr revIDLastSave="0" documentId="13_ncr:1_{D42D5B62-4459-45AC-983E-ED3E9E3F1903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ALE" sheetId="1" r:id="rId1"/>
    <sheet name="DAFTAR BARANG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" l="1"/>
  <c r="I20" i="1" s="1"/>
  <c r="E19" i="1"/>
  <c r="I19" i="1" s="1"/>
  <c r="E18" i="1"/>
  <c r="I18" i="1" s="1"/>
  <c r="E17" i="1"/>
  <c r="I17" i="1" s="1"/>
  <c r="E16" i="1"/>
  <c r="I16" i="1" s="1"/>
  <c r="E15" i="1"/>
  <c r="I15" i="1" s="1"/>
  <c r="E14" i="1"/>
  <c r="I14" i="1" s="1"/>
  <c r="E13" i="1"/>
  <c r="I13" i="1" s="1"/>
  <c r="E12" i="1"/>
  <c r="I12" i="1" s="1"/>
  <c r="E11" i="1"/>
  <c r="I11" i="1" s="1"/>
  <c r="E10" i="1"/>
  <c r="I10" i="1" s="1"/>
  <c r="E9" i="1"/>
  <c r="I9" i="1" s="1"/>
  <c r="D7" i="1"/>
  <c r="D8" i="1"/>
  <c r="D9" i="1"/>
  <c r="D20" i="1"/>
  <c r="D19" i="1"/>
  <c r="D18" i="1"/>
  <c r="D17" i="1"/>
  <c r="D16" i="1"/>
  <c r="D15" i="1"/>
  <c r="D14" i="1"/>
  <c r="D12" i="1"/>
  <c r="D13" i="1"/>
  <c r="D11" i="1"/>
  <c r="D10" i="1"/>
  <c r="E8" i="1"/>
  <c r="I8" i="1" s="1"/>
  <c r="E7" i="1"/>
  <c r="I7" i="1" s="1"/>
  <c r="E6" i="1"/>
  <c r="I6" i="1" s="1"/>
  <c r="E5" i="1"/>
  <c r="I5" i="1" s="1"/>
  <c r="D4" i="1"/>
  <c r="D6" i="1"/>
  <c r="E4" i="1"/>
  <c r="I4" i="1" s="1"/>
  <c r="D5" i="1"/>
</calcChain>
</file>

<file path=xl/sharedStrings.xml><?xml version="1.0" encoding="utf-8"?>
<sst xmlns="http://schemas.openxmlformats.org/spreadsheetml/2006/main" count="55" uniqueCount="46">
  <si>
    <t>NAMA PELANGGAN</t>
  </si>
  <si>
    <t>KODE</t>
  </si>
  <si>
    <t>NAMA BARANG</t>
  </si>
  <si>
    <t>HARGA</t>
  </si>
  <si>
    <t>SATUAN</t>
  </si>
  <si>
    <t>MEMBER</t>
  </si>
  <si>
    <t>DISKON</t>
  </si>
  <si>
    <t>JUMLAH</t>
  </si>
  <si>
    <t>KOD</t>
  </si>
  <si>
    <t>DR 01</t>
  </si>
  <si>
    <t>DR 02</t>
  </si>
  <si>
    <t>DR 03</t>
  </si>
  <si>
    <t>DR 04</t>
  </si>
  <si>
    <t>DR 05</t>
  </si>
  <si>
    <t>DR 06</t>
  </si>
  <si>
    <t>DR 07</t>
  </si>
  <si>
    <t>DR 08</t>
  </si>
  <si>
    <t>DR 09</t>
  </si>
  <si>
    <t>DR 10</t>
  </si>
  <si>
    <t>DR 11</t>
  </si>
  <si>
    <t>DR 12</t>
  </si>
  <si>
    <t>DR 13</t>
  </si>
  <si>
    <t>DR 14</t>
  </si>
  <si>
    <t>DR 15</t>
  </si>
  <si>
    <t>BAJU</t>
  </si>
  <si>
    <t>KAOS</t>
  </si>
  <si>
    <t>SWEATER</t>
  </si>
  <si>
    <t>HOODIE</t>
  </si>
  <si>
    <t>JAKET</t>
  </si>
  <si>
    <t>MANTEL</t>
  </si>
  <si>
    <t>ALMET</t>
  </si>
  <si>
    <t>CELANA PENDEK</t>
  </si>
  <si>
    <t>CELANA PANJANG</t>
  </si>
  <si>
    <t>PAKAIAN DALAM</t>
  </si>
  <si>
    <t>PAKAIAN RENANG</t>
  </si>
  <si>
    <t>STELAN JAS</t>
  </si>
  <si>
    <t>PAYUNG</t>
  </si>
  <si>
    <t>SEPATU</t>
  </si>
  <si>
    <t>ALAS KAKI</t>
  </si>
  <si>
    <t>TANGGAL</t>
  </si>
  <si>
    <t>Ada</t>
  </si>
  <si>
    <t>Rendy</t>
  </si>
  <si>
    <t>Finn</t>
  </si>
  <si>
    <t>Abi</t>
  </si>
  <si>
    <t>TIDAK ADA</t>
  </si>
  <si>
    <t>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</si>
</sst>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_-[$Rp-421]* #,##0.00_-;\-[$Rp-421]* #,##0.00_-;_-[$Rp-421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0" xfId="0" applyBorder="1"/>
    <xf numFmtId="0" fontId="1" fillId="3" borderId="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166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DAFTAR BARANG'!A1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0</xdr:row>
      <xdr:rowOff>142874</xdr:rowOff>
    </xdr:from>
    <xdr:to>
      <xdr:col>6</xdr:col>
      <xdr:colOff>485776</xdr:colOff>
      <xdr:row>1</xdr:row>
      <xdr:rowOff>1295399</xdr:rowOff>
    </xdr:to>
    <xdr:sp macro="" textlink="">
      <xdr:nvSpPr>
        <xdr:cNvPr id="4" name="Horizontal Scrol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1500" y="142874"/>
          <a:ext cx="5419726" cy="1343025"/>
        </a:xfrm>
        <a:prstGeom prst="horizontalScroll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790576</xdr:colOff>
      <xdr:row>1</xdr:row>
      <xdr:rowOff>304800</xdr:rowOff>
    </xdr:from>
    <xdr:to>
      <xdr:col>6</xdr:col>
      <xdr:colOff>381000</xdr:colOff>
      <xdr:row>1</xdr:row>
      <xdr:rowOff>828675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90576" y="495300"/>
          <a:ext cx="5095874" cy="523875"/>
        </a:xfrm>
        <a:prstGeom prst="rect">
          <a:avLst/>
        </a:prstGeom>
        <a:solidFill>
          <a:srgbClr val="7030A0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600" b="1">
              <a:solidFill>
                <a:schemeClr val="bg1"/>
              </a:solidFill>
              <a:latin typeface="Comic Sans MS" panose="030F0702030302020204" pitchFamily="66" charset="0"/>
            </a:rPr>
            <a:t>TOKO BAJU IRAWAN</a:t>
          </a:r>
        </a:p>
      </xdr:txBody>
    </xdr:sp>
    <xdr:clientData/>
  </xdr:twoCellAnchor>
  <xdr:twoCellAnchor>
    <xdr:from>
      <xdr:col>9</xdr:col>
      <xdr:colOff>0</xdr:colOff>
      <xdr:row>1</xdr:row>
      <xdr:rowOff>123825</xdr:rowOff>
    </xdr:from>
    <xdr:to>
      <xdr:col>10</xdr:col>
      <xdr:colOff>19232</xdr:colOff>
      <xdr:row>2</xdr:row>
      <xdr:rowOff>38099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8963025" y="314325"/>
          <a:ext cx="1305107" cy="1257299"/>
          <a:chOff x="7448550" y="228600"/>
          <a:chExt cx="1305107" cy="1257299"/>
        </a:xfrm>
      </xdr:grpSpPr>
      <xdr:pic macro="[0]!FORM_PENJUALAN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8550" y="228600"/>
            <a:ext cx="1305107" cy="1133633"/>
          </a:xfrm>
          <a:prstGeom prst="rect">
            <a:avLst/>
          </a:prstGeom>
        </xdr:spPr>
      </xdr:pic>
      <xdr:sp macro="[0]!FORM_PENJUALAN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7648576" y="1228724"/>
            <a:ext cx="933450" cy="257175"/>
          </a:xfrm>
          <a:prstGeom prst="rect">
            <a:avLst/>
          </a:prstGeom>
          <a:solidFill>
            <a:schemeClr val="accent4"/>
          </a:solidFill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>
                <a:solidFill>
                  <a:schemeClr val="bg1"/>
                </a:solidFill>
                <a:latin typeface="Comic Sans MS" panose="030F0702030302020204" pitchFamily="66" charset="0"/>
              </a:rPr>
              <a:t>APLIKASI</a:t>
            </a:r>
          </a:p>
        </xdr:txBody>
      </xdr:sp>
    </xdr:grpSp>
    <xdr:clientData/>
  </xdr:twoCellAnchor>
  <xdr:twoCellAnchor>
    <xdr:from>
      <xdr:col>9</xdr:col>
      <xdr:colOff>238126</xdr:colOff>
      <xdr:row>12</xdr:row>
      <xdr:rowOff>76200</xdr:rowOff>
    </xdr:from>
    <xdr:to>
      <xdr:col>9</xdr:col>
      <xdr:colOff>1171576</xdr:colOff>
      <xdr:row>18</xdr:row>
      <xdr:rowOff>142874</xdr:rowOff>
    </xdr:to>
    <xdr:grpSp>
      <xdr:nvGrpSpPr>
        <xdr:cNvPr id="16" name="Group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9201151" y="3514725"/>
          <a:ext cx="933450" cy="1209674"/>
          <a:chOff x="9067801" y="285750"/>
          <a:chExt cx="933450" cy="1209674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6850" y="285750"/>
            <a:ext cx="876422" cy="924054"/>
          </a:xfrm>
          <a:prstGeom prst="rect">
            <a:avLst/>
          </a:prstGeom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9067801" y="1238249"/>
            <a:ext cx="933450" cy="257175"/>
          </a:xfrm>
          <a:prstGeom prst="rect">
            <a:avLst/>
          </a:prstGeom>
          <a:solidFill>
            <a:schemeClr val="accent4"/>
          </a:solidFill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>
                <a:solidFill>
                  <a:schemeClr val="bg1"/>
                </a:solidFill>
                <a:latin typeface="Comic Sans MS" panose="030F0702030302020204" pitchFamily="66" charset="0"/>
              </a:rPr>
              <a:t>DATA</a:t>
            </a:r>
          </a:p>
        </xdr:txBody>
      </xdr:sp>
    </xdr:grpSp>
    <xdr:clientData/>
  </xdr:twoCellAnchor>
  <xdr:twoCellAnchor>
    <xdr:from>
      <xdr:col>9</xdr:col>
      <xdr:colOff>104775</xdr:colOff>
      <xdr:row>3</xdr:row>
      <xdr:rowOff>95250</xdr:rowOff>
    </xdr:from>
    <xdr:to>
      <xdr:col>9</xdr:col>
      <xdr:colOff>1238408</xdr:colOff>
      <xdr:row>10</xdr:row>
      <xdr:rowOff>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9067800" y="1819275"/>
          <a:ext cx="1133633" cy="1238250"/>
          <a:chOff x="10287000" y="257175"/>
          <a:chExt cx="1133633" cy="1238250"/>
        </a:xfrm>
      </xdr:grpSpPr>
      <xdr:pic macro="[0]!cetak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87000" y="257175"/>
            <a:ext cx="1133633" cy="1047896"/>
          </a:xfrm>
          <a:prstGeom prst="rect">
            <a:avLst/>
          </a:prstGeom>
        </xdr:spPr>
      </xdr:pic>
      <xdr:sp macro="[0]!cetak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0363200" y="1238250"/>
            <a:ext cx="933450" cy="257175"/>
          </a:xfrm>
          <a:prstGeom prst="rect">
            <a:avLst/>
          </a:prstGeom>
          <a:solidFill>
            <a:schemeClr val="accent4"/>
          </a:solidFill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>
                <a:solidFill>
                  <a:schemeClr val="bg1"/>
                </a:solidFill>
                <a:latin typeface="Comic Sans MS" panose="030F0702030302020204" pitchFamily="66" charset="0"/>
              </a:rPr>
              <a:t>PRINT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20"/>
  <sheetViews>
    <sheetView showGridLines="0" tabSelected="1" workbookViewId="0">
      <selection activeCell="H13" sqref="H13"/>
    </sheetView>
  </sheetViews>
  <sheetFormatPr defaultRowHeight="15" x14ac:dyDescent="0.25"/>
  <cols>
    <col min="1" max="1" width="14.42578125" customWidth="1"/>
    <col min="2" max="2" width="25.28515625" customWidth="1"/>
    <col min="3" max="3" width="8.42578125" customWidth="1"/>
    <col min="4" max="4" width="16.5703125" customWidth="1"/>
    <col min="5" max="5" width="16" customWidth="1"/>
    <col min="7" max="7" width="14" customWidth="1"/>
    <col min="8" max="8" width="7.140625" customWidth="1"/>
    <col min="9" max="9" width="23.42578125" customWidth="1"/>
    <col min="10" max="10" width="19.28515625" customWidth="1"/>
    <col min="11" max="11" width="19.85546875" customWidth="1"/>
  </cols>
  <sheetData>
    <row r="2" spans="1:9" ht="105.75" customHeight="1" x14ac:dyDescent="0.25"/>
    <row r="3" spans="1:9" x14ac:dyDescent="0.25">
      <c r="A3" s="2" t="s">
        <v>39</v>
      </c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</row>
    <row r="4" spans="1:9" x14ac:dyDescent="0.25">
      <c r="A4" s="7">
        <v>28</v>
      </c>
      <c r="B4" s="5" t="s">
        <v>41</v>
      </c>
      <c r="C4" s="5" t="s">
        <v>11</v>
      </c>
      <c r="D4" s="9" t="str">
        <f>VLOOKUP(C4,'DAFTAR BARANG'!$A$3:$B$17,2,FALSE)</f>
        <v>SWEATER</v>
      </c>
      <c r="E4" s="10">
        <f>VLOOKUP(C4,'DAFTAR BARANG'!$A$3:$C$17,3,FALSE)</f>
        <v>50000</v>
      </c>
      <c r="F4" s="8">
        <v>3</v>
      </c>
      <c r="G4" s="5" t="s">
        <v>40</v>
      </c>
      <c r="H4" s="11">
        <v>0.05</v>
      </c>
      <c r="I4" s="10">
        <f>(E4*F4)-(E4*F4)*H4</f>
        <v>142500</v>
      </c>
    </row>
    <row r="5" spans="1:9" x14ac:dyDescent="0.25">
      <c r="A5" s="7">
        <v>49</v>
      </c>
      <c r="B5" s="5" t="s">
        <v>42</v>
      </c>
      <c r="C5" s="5" t="s">
        <v>13</v>
      </c>
      <c r="D5" s="5" t="str">
        <f>VLOOKUP(C5,'DAFTAR BARANG'!$A$3:$B$17,2,FALSE)</f>
        <v>JAKET</v>
      </c>
      <c r="E5" s="10">
        <f>VLOOKUP(C5,'DAFTAR BARANG'!$A$3:$C$17,3,FALSE)</f>
        <v>50000</v>
      </c>
      <c r="F5" s="5">
        <v>2</v>
      </c>
      <c r="G5" s="5" t="s">
        <v>40</v>
      </c>
      <c r="H5" s="6"/>
      <c r="I5" s="10">
        <f>(E5*F5)-(E5*F5)*H5</f>
        <v>100000</v>
      </c>
    </row>
    <row r="6" spans="1:9" x14ac:dyDescent="0.25">
      <c r="A6" s="7">
        <v>225</v>
      </c>
      <c r="B6" s="5" t="s">
        <v>43</v>
      </c>
      <c r="C6" s="5" t="s">
        <v>19</v>
      </c>
      <c r="D6" s="5" t="str">
        <f>VLOOKUP(C6,'DAFTAR BARANG'!$A$3:$B$17,2,FALSE)</f>
        <v>PAKAIAN RENANG</v>
      </c>
      <c r="E6" s="10">
        <f>VLOOKUP(C6,'DAFTAR BARANG'!$A$3:$C$17,3,FALSE)</f>
        <v>80000</v>
      </c>
      <c r="F6" s="5">
        <v>4</v>
      </c>
      <c r="G6" s="5" t="s">
        <v>44</v>
      </c>
      <c r="H6" s="5"/>
      <c r="I6" s="10">
        <f>(E6*F6)-(E6*F6)*H6</f>
        <v>320000</v>
      </c>
    </row>
    <row r="7" spans="1:9" x14ac:dyDescent="0.25">
      <c r="A7" s="7">
        <v>138</v>
      </c>
      <c r="B7" s="5" t="s">
        <v>45</v>
      </c>
      <c r="C7" s="5" t="s">
        <v>18</v>
      </c>
      <c r="D7" s="5" t="str">
        <f>VLOOKUP(C7,'DAFTAR BARANG'!$A$3:$B$17,2,FALSE)</f>
        <v>PAKAIAN DALAM</v>
      </c>
      <c r="E7" s="10">
        <f>VLOOKUP(C7,'DAFTAR BARANG'!$A$3:$C$17,3,FALSE)</f>
        <v>50000</v>
      </c>
      <c r="F7" s="5">
        <v>2</v>
      </c>
      <c r="G7" s="5" t="s">
        <v>40</v>
      </c>
      <c r="H7" s="6">
        <v>0.05</v>
      </c>
      <c r="I7" s="10">
        <f>(E7*F7)-(E7*F7)*H7</f>
        <v>95000</v>
      </c>
    </row>
    <row r="8" spans="1:9" x14ac:dyDescent="0.25">
      <c r="A8" s="5"/>
      <c r="B8" s="5"/>
      <c r="C8" s="5"/>
      <c r="D8" s="5" t="e">
        <f>VLOOKUP(C8,'DAFTAR BARANG'!$A$3:$B$17,2,FALSE)</f>
        <v>#N/A</v>
      </c>
      <c r="E8" s="10" t="e">
        <f>VLOOKUP(C8,'DAFTAR BARANG'!$A$3:$C$17,3,FALSE)</f>
        <v>#N/A</v>
      </c>
      <c r="F8" s="5"/>
      <c r="G8" s="5"/>
      <c r="H8" s="5"/>
      <c r="I8" s="10" t="e">
        <f>(E8*F8)-(E8*F8)*H8</f>
        <v>#N/A</v>
      </c>
    </row>
    <row r="9" spans="1:9" x14ac:dyDescent="0.25">
      <c r="A9" s="5"/>
      <c r="B9" s="5"/>
      <c r="C9" s="5"/>
      <c r="D9" s="9" t="e">
        <f>VLOOKUP(C9,'DAFTAR BARANG'!$A$3:$B$17,2,FALSE)</f>
        <v>#N/A</v>
      </c>
      <c r="E9" s="10" t="e">
        <f>VLOOKUP(C9,'DAFTAR BARANG'!$A$3:$C$17,3,FALSE)</f>
        <v>#N/A</v>
      </c>
      <c r="F9" s="5"/>
      <c r="G9" s="5"/>
      <c r="H9" s="5"/>
      <c r="I9" s="10" t="e">
        <f>(E9*F9)-(E9*F9)*H9</f>
        <v>#N/A</v>
      </c>
    </row>
    <row r="10" spans="1:9" x14ac:dyDescent="0.25">
      <c r="A10" s="5"/>
      <c r="B10" s="5"/>
      <c r="C10" s="5"/>
      <c r="D10" s="9" t="e">
        <f>VLOOKUP(C10,'DAFTAR BARANG'!$A$3:$B$17,2,FALSE)</f>
        <v>#N/A</v>
      </c>
      <c r="E10" s="10" t="e">
        <f>VLOOKUP(C10,'DAFTAR BARANG'!$A$3:$C$17,3,FALSE)</f>
        <v>#N/A</v>
      </c>
      <c r="F10" s="5"/>
      <c r="G10" s="5"/>
      <c r="H10" s="5"/>
      <c r="I10" s="10" t="e">
        <f>(E10*F10)-(E10*F10)*H10</f>
        <v>#N/A</v>
      </c>
    </row>
    <row r="11" spans="1:9" x14ac:dyDescent="0.25">
      <c r="A11" s="5"/>
      <c r="B11" s="5"/>
      <c r="C11" s="5"/>
      <c r="D11" s="9" t="e">
        <f>VLOOKUP(C11,'DAFTAR BARANG'!$A$3:$B$17,2,FALSE)</f>
        <v>#N/A</v>
      </c>
      <c r="E11" s="10" t="e">
        <f>VLOOKUP(C11,'DAFTAR BARANG'!$A$3:$C$17,3,FALSE)</f>
        <v>#N/A</v>
      </c>
      <c r="F11" s="5"/>
      <c r="G11" s="5"/>
      <c r="H11" s="5"/>
      <c r="I11" s="10" t="e">
        <f>(E11*F11)-(E11*F11)*H11</f>
        <v>#N/A</v>
      </c>
    </row>
    <row r="12" spans="1:9" x14ac:dyDescent="0.25">
      <c r="A12" s="5"/>
      <c r="B12" s="5"/>
      <c r="C12" s="5"/>
      <c r="D12" s="9" t="e">
        <f>VLOOKUP(C12,'DAFTAR BARANG'!$A$3:$B$17,2,FALSE)</f>
        <v>#N/A</v>
      </c>
      <c r="E12" s="10" t="e">
        <f>VLOOKUP(C12,'DAFTAR BARANG'!$A$3:$C$17,3,FALSE)</f>
        <v>#N/A</v>
      </c>
      <c r="F12" s="5"/>
      <c r="G12" s="5"/>
      <c r="H12" s="5"/>
      <c r="I12" s="10" t="e">
        <f>(E12*F12)-(E12*F12)*H12</f>
        <v>#N/A</v>
      </c>
    </row>
    <row r="13" spans="1:9" x14ac:dyDescent="0.25">
      <c r="A13" s="5"/>
      <c r="B13" s="5"/>
      <c r="C13" s="5"/>
      <c r="D13" s="9" t="e">
        <f>VLOOKUP(C13,'DAFTAR BARANG'!$A$3:$B$17,2,FALSE)</f>
        <v>#N/A</v>
      </c>
      <c r="E13" s="10" t="e">
        <f>VLOOKUP(C13,'DAFTAR BARANG'!$A$3:$C$17,3,FALSE)</f>
        <v>#N/A</v>
      </c>
      <c r="F13" s="5"/>
      <c r="G13" s="5"/>
      <c r="H13" s="5"/>
      <c r="I13" s="10" t="e">
        <f>(E13*F13)-(E13*F13)*H13</f>
        <v>#N/A</v>
      </c>
    </row>
    <row r="14" spans="1:9" x14ac:dyDescent="0.25">
      <c r="A14" s="5"/>
      <c r="B14" s="5"/>
      <c r="C14" s="5"/>
      <c r="D14" s="9" t="e">
        <f>VLOOKUP(C14,'DAFTAR BARANG'!$A$3:$B$17,2,FALSE)</f>
        <v>#N/A</v>
      </c>
      <c r="E14" s="10" t="e">
        <f>VLOOKUP(C14,'DAFTAR BARANG'!$A$3:$C$17,3,FALSE)</f>
        <v>#N/A</v>
      </c>
      <c r="F14" s="5"/>
      <c r="G14" s="5"/>
      <c r="H14" s="5"/>
      <c r="I14" s="10" t="e">
        <f>(E14*F14)-(E14*F14)*H14</f>
        <v>#N/A</v>
      </c>
    </row>
    <row r="15" spans="1:9" x14ac:dyDescent="0.25">
      <c r="A15" s="5"/>
      <c r="B15" s="5"/>
      <c r="C15" s="5"/>
      <c r="D15" s="9" t="e">
        <f>VLOOKUP(C15,'DAFTAR BARANG'!$A$3:$B$17,2,FALSE)</f>
        <v>#N/A</v>
      </c>
      <c r="E15" s="10" t="e">
        <f>VLOOKUP(C15,'DAFTAR BARANG'!$A$3:$C$17,3,FALSE)</f>
        <v>#N/A</v>
      </c>
      <c r="F15" s="5"/>
      <c r="G15" s="5"/>
      <c r="H15" s="5"/>
      <c r="I15" s="10" t="e">
        <f>(E15*F15)-(E15*F15)*H15</f>
        <v>#N/A</v>
      </c>
    </row>
    <row r="16" spans="1:9" x14ac:dyDescent="0.25">
      <c r="A16" s="5"/>
      <c r="B16" s="5"/>
      <c r="C16" s="5"/>
      <c r="D16" s="9" t="e">
        <f>VLOOKUP(C16,'DAFTAR BARANG'!$A$3:$B$17,2,FALSE)</f>
        <v>#N/A</v>
      </c>
      <c r="E16" s="10" t="e">
        <f>VLOOKUP(C16,'DAFTAR BARANG'!$A$3:$C$17,3,FALSE)</f>
        <v>#N/A</v>
      </c>
      <c r="F16" s="5"/>
      <c r="G16" s="5"/>
      <c r="H16" s="5"/>
      <c r="I16" s="10" t="e">
        <f>(E16*F16)-(E16*F16)*H16</f>
        <v>#N/A</v>
      </c>
    </row>
    <row r="17" spans="1:9" x14ac:dyDescent="0.25">
      <c r="A17" s="5"/>
      <c r="B17" s="5"/>
      <c r="C17" s="5"/>
      <c r="D17" s="9" t="e">
        <f>VLOOKUP(C17,'DAFTAR BARANG'!$A$3:$B$17,2,FALSE)</f>
        <v>#N/A</v>
      </c>
      <c r="E17" s="10" t="e">
        <f>VLOOKUP(C17,'DAFTAR BARANG'!$A$3:$C$17,3,FALSE)</f>
        <v>#N/A</v>
      </c>
      <c r="F17" s="5"/>
      <c r="G17" s="5"/>
      <c r="H17" s="5"/>
      <c r="I17" s="10" t="e">
        <f>(E17*F17)-(E17*F17)*H17</f>
        <v>#N/A</v>
      </c>
    </row>
    <row r="18" spans="1:9" x14ac:dyDescent="0.25">
      <c r="A18" s="5"/>
      <c r="B18" s="5"/>
      <c r="C18" s="5"/>
      <c r="D18" s="9" t="e">
        <f>VLOOKUP(C18,'DAFTAR BARANG'!$A$3:$B$17,2,FALSE)</f>
        <v>#N/A</v>
      </c>
      <c r="E18" s="10" t="e">
        <f>VLOOKUP(C18,'DAFTAR BARANG'!$A$3:$C$17,3,FALSE)</f>
        <v>#N/A</v>
      </c>
      <c r="F18" s="5"/>
      <c r="G18" s="5"/>
      <c r="H18" s="5"/>
      <c r="I18" s="10" t="e">
        <f>(E18*F18)-(E18*F18)*H18</f>
        <v>#N/A</v>
      </c>
    </row>
    <row r="19" spans="1:9" x14ac:dyDescent="0.25">
      <c r="A19" s="5"/>
      <c r="B19" s="5"/>
      <c r="C19" s="5"/>
      <c r="D19" s="9" t="e">
        <f>VLOOKUP(C19,'DAFTAR BARANG'!$A$3:$B$17,2,FALSE)</f>
        <v>#N/A</v>
      </c>
      <c r="E19" s="10" t="e">
        <f>VLOOKUP(C19,'DAFTAR BARANG'!$A$3:$C$17,3,FALSE)</f>
        <v>#N/A</v>
      </c>
      <c r="F19" s="5"/>
      <c r="G19" s="5"/>
      <c r="H19" s="5"/>
      <c r="I19" s="10" t="e">
        <f>(E19*F19)-(E19*F19)*H19</f>
        <v>#N/A</v>
      </c>
    </row>
    <row r="20" spans="1:9" x14ac:dyDescent="0.25">
      <c r="A20" s="5"/>
      <c r="B20" s="5"/>
      <c r="C20" s="5"/>
      <c r="D20" s="9" t="e">
        <f>VLOOKUP(C20,'DAFTAR BARANG'!$A$3:$B$17,2,FALSE)</f>
        <v>#N/A</v>
      </c>
      <c r="E20" s="10" t="e">
        <f>VLOOKUP(C20,'DAFTAR BARANG'!$A$3:$C$17,3,FALSE)</f>
        <v>#N/A</v>
      </c>
      <c r="F20" s="5"/>
      <c r="G20" s="5"/>
      <c r="H20" s="5"/>
      <c r="I20" s="10" t="e">
        <f>(E20*F20)-(E20*F20)*H20</f>
        <v>#N/A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6"/>
  <sheetViews>
    <sheetView workbookViewId="0">
      <selection activeCell="F20" sqref="F20"/>
    </sheetView>
  </sheetViews>
  <sheetFormatPr defaultRowHeight="15" x14ac:dyDescent="0.25"/>
  <cols>
    <col min="2" max="2" width="18.140625" customWidth="1"/>
    <col min="3" max="3" width="16.85546875" customWidth="1"/>
  </cols>
  <sheetData>
    <row r="1" spans="1:4" x14ac:dyDescent="0.25">
      <c r="A1" s="2" t="s">
        <v>1</v>
      </c>
      <c r="B1" s="2" t="s">
        <v>2</v>
      </c>
      <c r="C1" s="2" t="s">
        <v>3</v>
      </c>
      <c r="D1" s="4" t="s">
        <v>8</v>
      </c>
    </row>
    <row r="2" spans="1:4" x14ac:dyDescent="0.25">
      <c r="A2" s="1" t="s">
        <v>9</v>
      </c>
      <c r="B2" s="1" t="s">
        <v>24</v>
      </c>
      <c r="C2" s="12">
        <v>20000</v>
      </c>
      <c r="D2" s="3"/>
    </row>
    <row r="3" spans="1:4" x14ac:dyDescent="0.25">
      <c r="A3" s="1" t="s">
        <v>10</v>
      </c>
      <c r="B3" s="1" t="s">
        <v>25</v>
      </c>
      <c r="C3" s="12">
        <v>20000</v>
      </c>
      <c r="D3" s="3"/>
    </row>
    <row r="4" spans="1:4" x14ac:dyDescent="0.25">
      <c r="A4" s="1" t="s">
        <v>11</v>
      </c>
      <c r="B4" s="1" t="s">
        <v>26</v>
      </c>
      <c r="C4" s="12">
        <v>50000</v>
      </c>
      <c r="D4" s="3"/>
    </row>
    <row r="5" spans="1:4" x14ac:dyDescent="0.25">
      <c r="A5" s="1" t="s">
        <v>12</v>
      </c>
      <c r="B5" s="1" t="s">
        <v>27</v>
      </c>
      <c r="C5" s="12">
        <v>80000</v>
      </c>
      <c r="D5" s="3"/>
    </row>
    <row r="6" spans="1:4" x14ac:dyDescent="0.25">
      <c r="A6" s="1" t="s">
        <v>13</v>
      </c>
      <c r="B6" s="1" t="s">
        <v>28</v>
      </c>
      <c r="C6" s="12">
        <v>50000</v>
      </c>
      <c r="D6" s="3"/>
    </row>
    <row r="7" spans="1:4" x14ac:dyDescent="0.25">
      <c r="A7" s="1" t="s">
        <v>14</v>
      </c>
      <c r="B7" s="1" t="s">
        <v>29</v>
      </c>
      <c r="C7" s="12">
        <v>150000</v>
      </c>
      <c r="D7" s="3"/>
    </row>
    <row r="8" spans="1:4" x14ac:dyDescent="0.25">
      <c r="A8" s="1" t="s">
        <v>15</v>
      </c>
      <c r="B8" s="1" t="s">
        <v>30</v>
      </c>
      <c r="C8" s="12">
        <v>150000</v>
      </c>
      <c r="D8" s="3"/>
    </row>
    <row r="9" spans="1:4" x14ac:dyDescent="0.25">
      <c r="A9" s="1" t="s">
        <v>16</v>
      </c>
      <c r="B9" s="1" t="s">
        <v>31</v>
      </c>
      <c r="C9" s="12">
        <v>20000</v>
      </c>
      <c r="D9" s="3"/>
    </row>
    <row r="10" spans="1:4" x14ac:dyDescent="0.25">
      <c r="A10" s="1" t="s">
        <v>17</v>
      </c>
      <c r="B10" s="1" t="s">
        <v>32</v>
      </c>
      <c r="C10" s="12">
        <v>25000</v>
      </c>
      <c r="D10" s="3"/>
    </row>
    <row r="11" spans="1:4" x14ac:dyDescent="0.25">
      <c r="A11" s="1" t="s">
        <v>18</v>
      </c>
      <c r="B11" s="1" t="s">
        <v>33</v>
      </c>
      <c r="C11" s="12">
        <v>50000</v>
      </c>
      <c r="D11" s="3"/>
    </row>
    <row r="12" spans="1:4" x14ac:dyDescent="0.25">
      <c r="A12" s="1" t="s">
        <v>19</v>
      </c>
      <c r="B12" s="1" t="s">
        <v>34</v>
      </c>
      <c r="C12" s="12">
        <v>80000</v>
      </c>
      <c r="D12" s="3"/>
    </row>
    <row r="13" spans="1:4" x14ac:dyDescent="0.25">
      <c r="A13" s="1" t="s">
        <v>20</v>
      </c>
      <c r="B13" s="1" t="s">
        <v>35</v>
      </c>
      <c r="C13" s="12">
        <v>200000</v>
      </c>
      <c r="D13" s="3"/>
    </row>
    <row r="14" spans="1:4" x14ac:dyDescent="0.25">
      <c r="A14" s="1" t="s">
        <v>21</v>
      </c>
      <c r="B14" s="1" t="s">
        <v>36</v>
      </c>
      <c r="C14" s="12">
        <v>20000</v>
      </c>
      <c r="D14" s="3"/>
    </row>
    <row r="15" spans="1:4" x14ac:dyDescent="0.25">
      <c r="A15" s="1" t="s">
        <v>22</v>
      </c>
      <c r="B15" s="1" t="s">
        <v>37</v>
      </c>
      <c r="C15" s="12">
        <v>80000</v>
      </c>
      <c r="D15" s="3"/>
    </row>
    <row r="16" spans="1:4" x14ac:dyDescent="0.25">
      <c r="A16" s="1" t="s">
        <v>23</v>
      </c>
      <c r="B16" s="1" t="s">
        <v>38</v>
      </c>
      <c r="C16" s="12">
        <v>10000</v>
      </c>
      <c r="D1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</vt:lpstr>
      <vt:lpstr>DAFTAR BARANG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RPL-39</dc:creator>
  <cp:lastModifiedBy>Zufar Irawan</cp:lastModifiedBy>
  <dcterms:created xsi:type="dcterms:W3CDTF">2023-08-24T18:18:10Z</dcterms:created>
  <dcterms:modified xsi:type="dcterms:W3CDTF">2023-08-24T11:45:11Z</dcterms:modified>
</cp:coreProperties>
</file>